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eenplus\OneDrive - 그린플러스\바탕 화면\"/>
    </mc:Choice>
  </mc:AlternateContent>
  <xr:revisionPtr revIDLastSave="0" documentId="8_{B58C7729-EB4D-4797-9073-5A9FC7FACF51}" xr6:coauthVersionLast="47" xr6:coauthVersionMax="47" xr10:uidLastSave="{00000000-0000-0000-0000-000000000000}"/>
  <bookViews>
    <workbookView xWindow="-28920" yWindow="-120" windowWidth="29040" windowHeight="15720" xr2:uid="{777A8300-092C-4D57-9673-9057754541F6}"/>
  </bookViews>
  <sheets>
    <sheet name="신안_고효율_26.06.08" sheetId="1" r:id="rId1"/>
  </sheets>
  <definedNames>
    <definedName name="_xlnm.Print_Area" localSheetId="0">'신안_고효율_26.06.08'!$A$1:$Z$31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4" i="1" l="1"/>
  <c r="Q25" i="1"/>
  <c r="T25" i="1"/>
  <c r="T24" i="1" l="1"/>
  <c r="Q27" i="1" s="1"/>
  <c r="S8" i="1" s="1"/>
  <c r="D8" i="1" s="1"/>
</calcChain>
</file>

<file path=xl/sharedStrings.xml><?xml version="1.0" encoding="utf-8"?>
<sst xmlns="http://schemas.openxmlformats.org/spreadsheetml/2006/main" count="53" uniqueCount="49">
  <si>
    <t>주식회사 그린플러스</t>
    <phoneticPr fontId="5" type="noConversion"/>
  </si>
  <si>
    <t>[GP-A-001]</t>
    <phoneticPr fontId="5" type="noConversion"/>
  </si>
  <si>
    <t>합계 금액</t>
    <phoneticPr fontId="5" type="noConversion"/>
  </si>
  <si>
    <t>이하 여백</t>
    <phoneticPr fontId="5" type="noConversion"/>
  </si>
  <si>
    <t>개</t>
  </si>
  <si>
    <t>EA</t>
    <phoneticPr fontId="3" type="noConversion"/>
  </si>
  <si>
    <t>-</t>
    <phoneticPr fontId="3" type="noConversion"/>
  </si>
  <si>
    <t>습도 제어판넬</t>
    <phoneticPr fontId="3" type="noConversion"/>
  </si>
  <si>
    <t>SGD-20S</t>
    <phoneticPr fontId="3" type="noConversion"/>
  </si>
  <si>
    <t>농용 공기교반 제습기</t>
    <phoneticPr fontId="3" type="noConversion"/>
  </si>
  <si>
    <t>부가세</t>
    <phoneticPr fontId="5" type="noConversion"/>
  </si>
  <si>
    <t>공급가</t>
    <phoneticPr fontId="5" type="noConversion"/>
  </si>
  <si>
    <t>단가</t>
    <phoneticPr fontId="3" type="noConversion"/>
  </si>
  <si>
    <t>수량</t>
    <phoneticPr fontId="5" type="noConversion"/>
  </si>
  <si>
    <t>단위</t>
    <phoneticPr fontId="5" type="noConversion"/>
  </si>
  <si>
    <t>규격</t>
  </si>
  <si>
    <t>품목</t>
    <phoneticPr fontId="3" type="noConversion"/>
  </si>
  <si>
    <t>연구재료비 집행의 건 (연구개발계획서 상 계상되어 있는 건임)</t>
    <phoneticPr fontId="5" type="noConversion"/>
  </si>
  <si>
    <t>과제명 : 고효율 광원 및 지능형 광조절 시스템 탑재 모듈형 수직농장 모델 개발</t>
    <phoneticPr fontId="16" type="noConversion"/>
  </si>
  <si>
    <t>전문기관 : 농림식품기술기획평가원</t>
    <phoneticPr fontId="16" type="noConversion"/>
  </si>
  <si>
    <t>중앙행정기관 : 농림축산식품부</t>
    <phoneticPr fontId="16" type="noConversion"/>
  </si>
  <si>
    <t>해당 연구개발 과제 수행을 위한 자재를 구매 하오니 결재 승인 요청드립니다.</t>
    <phoneticPr fontId="5" type="noConversion"/>
  </si>
  <si>
    <t>상세내용</t>
    <phoneticPr fontId="16" type="noConversion"/>
  </si>
  <si>
    <t>고효율 과제 환경제어 자재 구매의 건</t>
    <phoneticPr fontId="5" type="noConversion"/>
  </si>
  <si>
    <t>내  용</t>
  </si>
  <si>
    <t>(인)</t>
  </si>
  <si>
    <t>김용직 주임연구원</t>
    <phoneticPr fontId="5" type="noConversion"/>
  </si>
  <si>
    <t>청 구 인</t>
  </si>
  <si>
    <t>지출일</t>
  </si>
  <si>
    <t>그린연구소</t>
  </si>
  <si>
    <t>청구부서</t>
  </si>
  <si>
    <t>발의일</t>
  </si>
  <si>
    <t>문서번호</t>
  </si>
  <si>
    <t>주식회사 신안그린테크</t>
    <phoneticPr fontId="5" type="noConversion"/>
  </si>
  <si>
    <t>업체명</t>
  </si>
  <si>
    <t>)</t>
  </si>
  <si>
    <t>(</t>
  </si>
  <si>
    <t>원정</t>
  </si>
  <si>
    <t>일  금</t>
  </si>
  <si>
    <t>*붉은색 글자만 수정</t>
    <phoneticPr fontId="5" type="noConversion"/>
  </si>
  <si>
    <t>*공란 부분 지우기</t>
    <phoneticPr fontId="5" type="noConversion"/>
  </si>
  <si>
    <t>지 출 결 의 서</t>
  </si>
  <si>
    <t>대표이사</t>
  </si>
  <si>
    <t>임원</t>
  </si>
  <si>
    <t>팀장</t>
  </si>
  <si>
    <t>담당</t>
  </si>
  <si>
    <t>경리부서</t>
  </si>
  <si>
    <t>확인</t>
    <phoneticPr fontId="5" type="noConversion"/>
  </si>
  <si>
    <t>검토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</si>
</sst>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[DBNum4][$-412]General"/>
  </numFmts>
  <fonts count="23" x14ac:knownFonts="1">
    <font>
      <sz val="11"/>
      <color theme="1"/>
      <name val="맑은 고딕"/>
      <family val="2"/>
      <charset val="129"/>
      <scheme val="minor"/>
    </font>
    <font>
      <sz val="10"/>
      <color rgb="FF000000"/>
      <name val="굴림체"/>
      <family val="3"/>
      <charset val="129"/>
    </font>
    <font>
      <sz val="1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b/>
      <u/>
      <sz val="10"/>
      <color rgb="FF00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6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1">
    <border>
      <left/>
      <right/>
      <top/>
      <bottom/>
      <diagonal/>
    </border>
    <border>
      <left/>
      <right/>
      <top style="medium">
        <color auto="1"/>
      </top>
      <bottom style="dotted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16">
    <xf numFmtId="0" fontId="0" fillId="0" borderId="0" xfId="0">
      <alignment vertical="center"/>
    </xf>
    <xf numFmtId="3" fontId="2" fillId="0" borderId="0" xfId="1" applyNumberFormat="1" applyFont="1">
      <alignment vertical="center"/>
    </xf>
    <xf numFmtId="3" fontId="4" fillId="0" borderId="1" xfId="1" applyNumberFormat="1" applyFont="1" applyBorder="1" applyAlignment="1">
      <alignment horizontal="right" vertical="center"/>
    </xf>
    <xf numFmtId="3" fontId="4" fillId="0" borderId="1" xfId="1" applyNumberFormat="1" applyFont="1" applyBorder="1" applyAlignment="1">
      <alignment horizontal="left" vertical="center"/>
    </xf>
    <xf numFmtId="3" fontId="2" fillId="0" borderId="2" xfId="1" applyNumberFormat="1" applyFont="1" applyBorder="1">
      <alignment vertical="center"/>
    </xf>
    <xf numFmtId="3" fontId="2" fillId="0" borderId="3" xfId="1" applyNumberFormat="1" applyFont="1" applyBorder="1">
      <alignment vertical="center"/>
    </xf>
    <xf numFmtId="3" fontId="2" fillId="0" borderId="4" xfId="1" applyNumberFormat="1" applyFont="1" applyBorder="1">
      <alignment vertical="center"/>
    </xf>
    <xf numFmtId="3" fontId="4" fillId="0" borderId="5" xfId="1" applyNumberFormat="1" applyFont="1" applyBorder="1">
      <alignment vertical="center"/>
    </xf>
    <xf numFmtId="3" fontId="4" fillId="0" borderId="0" xfId="1" applyNumberFormat="1" applyFont="1">
      <alignment vertical="center"/>
    </xf>
    <xf numFmtId="3" fontId="2" fillId="0" borderId="0" xfId="1" applyNumberFormat="1" applyFont="1" applyAlignment="1">
      <alignment horizontal="right" vertical="center"/>
    </xf>
    <xf numFmtId="3" fontId="4" fillId="0" borderId="6" xfId="1" applyNumberFormat="1" applyFont="1" applyBorder="1">
      <alignment vertical="center"/>
    </xf>
    <xf numFmtId="3" fontId="4" fillId="0" borderId="0" xfId="1" applyNumberFormat="1" applyFont="1" applyAlignment="1">
      <alignment horizontal="center" vertical="center"/>
    </xf>
    <xf numFmtId="3" fontId="6" fillId="0" borderId="0" xfId="1" applyNumberFormat="1" applyFont="1" applyAlignment="1">
      <alignment horizontal="center" vertical="center" wrapText="1"/>
    </xf>
    <xf numFmtId="3" fontId="6" fillId="0" borderId="0" xfId="1" applyNumberFormat="1" applyFont="1" applyAlignment="1">
      <alignment horizontal="center" vertical="center"/>
    </xf>
    <xf numFmtId="3" fontId="6" fillId="0" borderId="7" xfId="1" applyNumberFormat="1" applyFont="1" applyBorder="1" applyAlignment="1">
      <alignment horizontal="center" vertical="center" wrapText="1"/>
    </xf>
    <xf numFmtId="3" fontId="6" fillId="0" borderId="8" xfId="1" applyNumberFormat="1" applyFont="1" applyBorder="1" applyAlignment="1">
      <alignment horizontal="center" vertical="center" wrapText="1"/>
    </xf>
    <xf numFmtId="3" fontId="6" fillId="0" borderId="9" xfId="1" applyNumberFormat="1" applyFont="1" applyBorder="1" applyAlignment="1">
      <alignment horizontal="center" vertical="center" wrapText="1"/>
    </xf>
    <xf numFmtId="3" fontId="6" fillId="0" borderId="7" xfId="1" applyNumberFormat="1" applyFont="1" applyBorder="1" applyAlignment="1">
      <alignment horizontal="center" vertical="center"/>
    </xf>
    <xf numFmtId="3" fontId="6" fillId="0" borderId="8" xfId="1" applyNumberFormat="1" applyFont="1" applyBorder="1" applyAlignment="1">
      <alignment horizontal="center" vertical="center"/>
    </xf>
    <xf numFmtId="3" fontId="6" fillId="0" borderId="9" xfId="1" applyNumberFormat="1" applyFont="1" applyBorder="1" applyAlignment="1">
      <alignment horizontal="center" vertical="center"/>
    </xf>
    <xf numFmtId="3" fontId="7" fillId="0" borderId="7" xfId="1" applyNumberFormat="1" applyFont="1" applyBorder="1" applyAlignment="1">
      <alignment horizontal="center" vertical="center"/>
    </xf>
    <xf numFmtId="3" fontId="7" fillId="0" borderId="8" xfId="1" applyNumberFormat="1" applyFont="1" applyBorder="1" applyAlignment="1">
      <alignment horizontal="center" vertical="center"/>
    </xf>
    <xf numFmtId="3" fontId="7" fillId="0" borderId="9" xfId="1" applyNumberFormat="1" applyFont="1" applyBorder="1" applyAlignment="1">
      <alignment horizontal="center" vertical="center"/>
    </xf>
    <xf numFmtId="3" fontId="7" fillId="0" borderId="10" xfId="1" applyNumberFormat="1" applyFont="1" applyBorder="1" applyAlignment="1">
      <alignment horizontal="center" vertical="center"/>
    </xf>
    <xf numFmtId="3" fontId="8" fillId="0" borderId="10" xfId="1" applyNumberFormat="1" applyFont="1" applyBorder="1" applyAlignment="1">
      <alignment horizontal="center" vertical="center" wrapText="1"/>
    </xf>
    <xf numFmtId="3" fontId="9" fillId="0" borderId="7" xfId="1" applyNumberFormat="1" applyFont="1" applyBorder="1" applyAlignment="1">
      <alignment horizontal="center" vertical="center" wrapText="1"/>
    </xf>
    <xf numFmtId="3" fontId="9" fillId="0" borderId="8" xfId="1" applyNumberFormat="1" applyFont="1" applyBorder="1" applyAlignment="1">
      <alignment horizontal="center" vertical="center" wrapText="1"/>
    </xf>
    <xf numFmtId="3" fontId="9" fillId="0" borderId="9" xfId="1" applyNumberFormat="1" applyFont="1" applyBorder="1" applyAlignment="1">
      <alignment horizontal="center" vertical="center" wrapText="1"/>
    </xf>
    <xf numFmtId="3" fontId="4" fillId="2" borderId="7" xfId="1" applyNumberFormat="1" applyFont="1" applyFill="1" applyBorder="1" applyAlignment="1">
      <alignment horizontal="center" vertical="center"/>
    </xf>
    <xf numFmtId="3" fontId="4" fillId="2" borderId="8" xfId="1" applyNumberFormat="1" applyFont="1" applyFill="1" applyBorder="1" applyAlignment="1">
      <alignment horizontal="center" vertical="center"/>
    </xf>
    <xf numFmtId="3" fontId="4" fillId="2" borderId="9" xfId="1" applyNumberFormat="1" applyFont="1" applyFill="1" applyBorder="1" applyAlignment="1">
      <alignment horizontal="center" vertical="center"/>
    </xf>
    <xf numFmtId="3" fontId="4" fillId="2" borderId="10" xfId="1" applyNumberFormat="1" applyFont="1" applyFill="1" applyBorder="1" applyAlignment="1">
      <alignment horizontal="center" vertical="center"/>
    </xf>
    <xf numFmtId="176" fontId="10" fillId="0" borderId="0" xfId="1" applyNumberFormat="1" applyFont="1" applyAlignment="1">
      <alignment horizontal="left" vertical="center"/>
    </xf>
    <xf numFmtId="3" fontId="2" fillId="0" borderId="5" xfId="1" applyNumberFormat="1" applyFont="1" applyBorder="1" applyAlignment="1">
      <alignment horizontal="center" vertical="center"/>
    </xf>
    <xf numFmtId="3" fontId="2" fillId="0" borderId="0" xfId="1" applyNumberFormat="1" applyFont="1" applyAlignment="1">
      <alignment horizontal="center" vertical="center"/>
    </xf>
    <xf numFmtId="3" fontId="2" fillId="0" borderId="0" xfId="1" applyNumberFormat="1" applyFont="1" applyAlignment="1">
      <alignment horizontal="left" vertical="center"/>
    </xf>
    <xf numFmtId="3" fontId="11" fillId="0" borderId="6" xfId="1" applyNumberFormat="1" applyFont="1" applyBorder="1" applyAlignment="1">
      <alignment horizontal="center" vertical="center"/>
    </xf>
    <xf numFmtId="176" fontId="12" fillId="0" borderId="5" xfId="1" applyNumberFormat="1" applyFont="1" applyBorder="1" applyAlignment="1">
      <alignment horizontal="center" vertical="center"/>
    </xf>
    <xf numFmtId="176" fontId="12" fillId="0" borderId="0" xfId="1" applyNumberFormat="1" applyFont="1" applyAlignment="1">
      <alignment horizontal="center" vertical="center"/>
    </xf>
    <xf numFmtId="176" fontId="12" fillId="0" borderId="0" xfId="1" applyNumberFormat="1" applyFont="1" applyAlignment="1">
      <alignment horizontal="left" vertical="center"/>
    </xf>
    <xf numFmtId="176" fontId="13" fillId="0" borderId="0" xfId="1" applyNumberFormat="1" applyFont="1" applyAlignment="1">
      <alignment horizontal="left" vertical="center"/>
    </xf>
    <xf numFmtId="176" fontId="14" fillId="0" borderId="6" xfId="1" applyNumberFormat="1" applyFont="1" applyBorder="1" applyAlignment="1">
      <alignment horizontal="center" vertical="center"/>
    </xf>
    <xf numFmtId="176" fontId="12" fillId="0" borderId="0" xfId="1" applyNumberFormat="1" applyFont="1" applyAlignment="1">
      <alignment horizontal="left" vertical="center"/>
    </xf>
    <xf numFmtId="176" fontId="12" fillId="0" borderId="0" xfId="1" applyNumberFormat="1" applyFont="1" applyAlignment="1">
      <alignment horizontal="left" vertical="center" wrapText="1"/>
    </xf>
    <xf numFmtId="176" fontId="15" fillId="0" borderId="0" xfId="1" applyNumberFormat="1" applyFont="1" applyAlignment="1">
      <alignment horizontal="left" vertical="center"/>
    </xf>
    <xf numFmtId="176" fontId="17" fillId="0" borderId="0" xfId="1" applyNumberFormat="1" applyFont="1" applyAlignment="1">
      <alignment vertical="center" wrapText="1"/>
    </xf>
    <xf numFmtId="176" fontId="17" fillId="0" borderId="0" xfId="1" applyNumberFormat="1" applyFont="1" applyAlignment="1">
      <alignment horizontal="left" vertical="center" wrapText="1"/>
    </xf>
    <xf numFmtId="176" fontId="12" fillId="0" borderId="11" xfId="1" applyNumberFormat="1" applyFont="1" applyBorder="1" applyAlignment="1">
      <alignment horizontal="left" vertical="center"/>
    </xf>
    <xf numFmtId="176" fontId="14" fillId="0" borderId="11" xfId="1" applyNumberFormat="1" applyFont="1" applyBorder="1" applyAlignment="1">
      <alignment horizontal="center" vertical="center"/>
    </xf>
    <xf numFmtId="176" fontId="14" fillId="0" borderId="12" xfId="1" applyNumberFormat="1" applyFont="1" applyBorder="1" applyAlignment="1">
      <alignment horizontal="center" vertical="center"/>
    </xf>
    <xf numFmtId="3" fontId="6" fillId="0" borderId="13" xfId="1" applyNumberFormat="1" applyFont="1" applyBorder="1" applyAlignment="1">
      <alignment horizontal="center" vertical="center"/>
    </xf>
    <xf numFmtId="3" fontId="6" fillId="0" borderId="14" xfId="1" applyNumberFormat="1" applyFont="1" applyBorder="1" applyAlignment="1">
      <alignment horizontal="center" vertical="center"/>
    </xf>
    <xf numFmtId="3" fontId="6" fillId="0" borderId="15" xfId="1" applyNumberFormat="1" applyFont="1" applyBorder="1" applyAlignment="1">
      <alignment horizontal="center" vertical="center"/>
    </xf>
    <xf numFmtId="3" fontId="4" fillId="0" borderId="16" xfId="1" applyNumberFormat="1" applyFont="1" applyBorder="1" applyAlignment="1">
      <alignment horizontal="center" vertical="center"/>
    </xf>
    <xf numFmtId="3" fontId="4" fillId="0" borderId="14" xfId="1" applyNumberFormat="1" applyFont="1" applyBorder="1" applyAlignment="1">
      <alignment horizontal="center" vertical="center"/>
    </xf>
    <xf numFmtId="3" fontId="4" fillId="0" borderId="17" xfId="1" applyNumberFormat="1" applyFont="1" applyBorder="1" applyAlignment="1">
      <alignment horizontal="center" vertical="center"/>
    </xf>
    <xf numFmtId="3" fontId="18" fillId="0" borderId="18" xfId="1" applyNumberFormat="1" applyFont="1" applyBorder="1">
      <alignment vertical="center"/>
    </xf>
    <xf numFmtId="3" fontId="7" fillId="0" borderId="19" xfId="1" applyNumberFormat="1" applyFont="1" applyBorder="1" applyAlignment="1">
      <alignment horizontal="center" vertical="center"/>
    </xf>
    <xf numFmtId="3" fontId="7" fillId="0" borderId="20" xfId="1" applyNumberFormat="1" applyFont="1" applyBorder="1" applyAlignment="1">
      <alignment horizontal="center" vertical="center"/>
    </xf>
    <xf numFmtId="3" fontId="6" fillId="0" borderId="21" xfId="1" applyNumberFormat="1" applyFont="1" applyBorder="1" applyAlignment="1">
      <alignment horizontal="center" vertical="center"/>
    </xf>
    <xf numFmtId="3" fontId="6" fillId="0" borderId="19" xfId="1" applyNumberFormat="1" applyFont="1" applyBorder="1" applyAlignment="1">
      <alignment horizontal="center" vertical="center"/>
    </xf>
    <xf numFmtId="3" fontId="6" fillId="0" borderId="20" xfId="1" applyNumberFormat="1" applyFont="1" applyBorder="1" applyAlignment="1">
      <alignment horizontal="center" vertical="center"/>
    </xf>
    <xf numFmtId="3" fontId="7" fillId="0" borderId="21" xfId="1" applyNumberFormat="1" applyFont="1" applyBorder="1" applyAlignment="1">
      <alignment horizontal="center" vertical="center"/>
    </xf>
    <xf numFmtId="3" fontId="4" fillId="0" borderId="22" xfId="1" applyNumberFormat="1" applyFont="1" applyBorder="1" applyAlignment="1">
      <alignment horizontal="center" vertical="center"/>
    </xf>
    <xf numFmtId="3" fontId="4" fillId="0" borderId="23" xfId="1" applyNumberFormat="1" applyFont="1" applyBorder="1" applyAlignment="1">
      <alignment horizontal="center" vertical="center"/>
    </xf>
    <xf numFmtId="3" fontId="7" fillId="0" borderId="18" xfId="1" applyNumberFormat="1" applyFont="1" applyBorder="1" applyAlignment="1">
      <alignment horizontal="center" vertical="center"/>
    </xf>
    <xf numFmtId="31" fontId="7" fillId="0" borderId="21" xfId="1" applyNumberFormat="1" applyFont="1" applyBorder="1" applyAlignment="1">
      <alignment horizontal="center" vertical="center"/>
    </xf>
    <xf numFmtId="31" fontId="7" fillId="0" borderId="19" xfId="1" applyNumberFormat="1" applyFont="1" applyBorder="1" applyAlignment="1">
      <alignment horizontal="center" vertical="center"/>
    </xf>
    <xf numFmtId="31" fontId="7" fillId="0" borderId="20" xfId="1" applyNumberFormat="1" applyFont="1" applyBorder="1" applyAlignment="1">
      <alignment horizontal="center" vertical="center"/>
    </xf>
    <xf numFmtId="176" fontId="7" fillId="0" borderId="24" xfId="1" applyNumberFormat="1" applyFont="1" applyBorder="1" applyAlignment="1">
      <alignment horizontal="center" vertical="center"/>
    </xf>
    <xf numFmtId="176" fontId="7" fillId="0" borderId="11" xfId="1" applyNumberFormat="1" applyFont="1" applyBorder="1" applyAlignment="1">
      <alignment horizontal="center" vertical="center"/>
    </xf>
    <xf numFmtId="176" fontId="7" fillId="0" borderId="25" xfId="1" applyNumberFormat="1" applyFont="1" applyBorder="1" applyAlignment="1">
      <alignment horizontal="center" vertical="center"/>
    </xf>
    <xf numFmtId="3" fontId="6" fillId="0" borderId="26" xfId="1" applyNumberFormat="1" applyFont="1" applyBorder="1" applyAlignment="1">
      <alignment horizontal="center" vertical="center"/>
    </xf>
    <xf numFmtId="3" fontId="6" fillId="0" borderId="11" xfId="1" applyNumberFormat="1" applyFont="1" applyBorder="1" applyAlignment="1">
      <alignment horizontal="center" vertical="center"/>
    </xf>
    <xf numFmtId="3" fontId="6" fillId="0" borderId="25" xfId="1" applyNumberFormat="1" applyFont="1" applyBorder="1" applyAlignment="1">
      <alignment horizontal="center" vertical="center"/>
    </xf>
    <xf numFmtId="3" fontId="7" fillId="0" borderId="26" xfId="1" applyNumberFormat="1" applyFont="1" applyBorder="1" applyAlignment="1">
      <alignment horizontal="center" vertical="center"/>
    </xf>
    <xf numFmtId="3" fontId="7" fillId="0" borderId="11" xfId="1" applyNumberFormat="1" applyFont="1" applyBorder="1" applyAlignment="1">
      <alignment horizontal="center" vertical="center"/>
    </xf>
    <xf numFmtId="3" fontId="7" fillId="0" borderId="25" xfId="1" applyNumberFormat="1" applyFont="1" applyBorder="1" applyAlignment="1">
      <alignment horizontal="center" vertical="center"/>
    </xf>
    <xf numFmtId="3" fontId="4" fillId="0" borderId="27" xfId="1" applyNumberFormat="1" applyFont="1" applyBorder="1" applyAlignment="1">
      <alignment horizontal="center" vertical="center"/>
    </xf>
    <xf numFmtId="3" fontId="4" fillId="0" borderId="28" xfId="1" applyNumberFormat="1" applyFont="1" applyBorder="1" applyAlignment="1">
      <alignment horizontal="center" vertical="center"/>
    </xf>
    <xf numFmtId="3" fontId="19" fillId="0" borderId="5" xfId="1" applyNumberFormat="1" applyFont="1" applyBorder="1" applyAlignment="1">
      <alignment horizontal="center" vertical="center"/>
    </xf>
    <xf numFmtId="3" fontId="19" fillId="0" borderId="29" xfId="1" applyNumberFormat="1" applyFont="1" applyBorder="1" applyAlignment="1">
      <alignment horizontal="right" vertical="center"/>
    </xf>
    <xf numFmtId="3" fontId="19" fillId="0" borderId="0" xfId="1" applyNumberFormat="1" applyFont="1" applyAlignment="1">
      <alignment horizontal="center" vertical="center"/>
    </xf>
    <xf numFmtId="3" fontId="20" fillId="0" borderId="0" xfId="1" applyNumberFormat="1" applyFont="1">
      <alignment vertical="center"/>
    </xf>
    <xf numFmtId="3" fontId="19" fillId="0" borderId="29" xfId="1" applyNumberFormat="1" applyFont="1" applyBorder="1" applyAlignment="1">
      <alignment horizontal="center" vertical="center"/>
    </xf>
    <xf numFmtId="177" fontId="19" fillId="0" borderId="29" xfId="1" applyNumberFormat="1" applyFont="1" applyBorder="1" applyAlignment="1">
      <alignment horizontal="right" vertical="center"/>
    </xf>
    <xf numFmtId="3" fontId="21" fillId="0" borderId="29" xfId="1" applyNumberFormat="1" applyFont="1" applyBorder="1" applyAlignment="1">
      <alignment horizontal="center" vertical="center"/>
    </xf>
    <xf numFmtId="3" fontId="21" fillId="0" borderId="30" xfId="1" applyNumberFormat="1" applyFont="1" applyBorder="1" applyAlignment="1">
      <alignment horizontal="center" vertical="center"/>
    </xf>
    <xf numFmtId="3" fontId="22" fillId="0" borderId="5" xfId="1" applyNumberFormat="1" applyFont="1" applyBorder="1" applyAlignment="1">
      <alignment horizontal="center" vertical="center"/>
    </xf>
    <xf numFmtId="3" fontId="22" fillId="0" borderId="0" xfId="1" applyNumberFormat="1" applyFont="1" applyAlignment="1">
      <alignment horizontal="center" vertical="center"/>
    </xf>
    <xf numFmtId="3" fontId="22" fillId="0" borderId="6" xfId="1" applyNumberFormat="1" applyFont="1" applyBorder="1" applyAlignment="1">
      <alignment horizontal="center" vertical="center"/>
    </xf>
    <xf numFmtId="3" fontId="22" fillId="0" borderId="31" xfId="1" applyNumberFormat="1" applyFont="1" applyBorder="1" applyAlignment="1">
      <alignment horizontal="center" vertical="center"/>
    </xf>
    <xf numFmtId="3" fontId="22" fillId="0" borderId="32" xfId="1" applyNumberFormat="1" applyFont="1" applyBorder="1" applyAlignment="1">
      <alignment horizontal="center" vertical="center"/>
    </xf>
    <xf numFmtId="3" fontId="22" fillId="0" borderId="33" xfId="1" applyNumberFormat="1" applyFont="1" applyBorder="1" applyAlignment="1">
      <alignment horizontal="center" vertical="center"/>
    </xf>
    <xf numFmtId="3" fontId="4" fillId="0" borderId="34" xfId="1" applyNumberFormat="1" applyFont="1" applyBorder="1" applyAlignment="1">
      <alignment horizontal="center" vertical="center"/>
    </xf>
    <xf numFmtId="3" fontId="4" fillId="0" borderId="35" xfId="1" applyNumberFormat="1" applyFont="1" applyBorder="1" applyAlignment="1">
      <alignment horizontal="center" vertical="center"/>
    </xf>
    <xf numFmtId="3" fontId="4" fillId="0" borderId="15" xfId="1" applyNumberFormat="1" applyFont="1" applyBorder="1" applyAlignment="1">
      <alignment horizontal="center" vertical="center"/>
    </xf>
    <xf numFmtId="3" fontId="4" fillId="0" borderId="36" xfId="1" applyNumberFormat="1" applyFont="1" applyBorder="1" applyAlignment="1">
      <alignment horizontal="center" vertical="center" wrapText="1"/>
    </xf>
    <xf numFmtId="3" fontId="4" fillId="0" borderId="0" xfId="1" applyNumberFormat="1" applyFont="1" applyAlignment="1">
      <alignment horizontal="center" vertical="center" wrapText="1"/>
    </xf>
    <xf numFmtId="3" fontId="4" fillId="0" borderId="0" xfId="1" applyNumberFormat="1" applyFont="1" applyAlignment="1">
      <alignment horizontal="center" vertical="center"/>
    </xf>
    <xf numFmtId="3" fontId="4" fillId="0" borderId="37" xfId="1" applyNumberFormat="1" applyFont="1" applyBorder="1" applyAlignment="1">
      <alignment horizontal="center" vertical="center"/>
    </xf>
    <xf numFmtId="3" fontId="4" fillId="0" borderId="38" xfId="1" applyNumberFormat="1" applyFont="1" applyBorder="1" applyAlignment="1">
      <alignment horizontal="center" vertical="center"/>
    </xf>
    <xf numFmtId="3" fontId="4" fillId="0" borderId="39" xfId="1" applyNumberFormat="1" applyFont="1" applyBorder="1" applyAlignment="1">
      <alignment horizontal="center" vertical="center"/>
    </xf>
    <xf numFmtId="3" fontId="4" fillId="0" borderId="40" xfId="1" applyNumberFormat="1" applyFont="1" applyBorder="1" applyAlignment="1">
      <alignment horizontal="center" vertical="center"/>
    </xf>
    <xf numFmtId="3" fontId="4" fillId="0" borderId="20" xfId="1" applyNumberFormat="1" applyFont="1" applyBorder="1" applyAlignment="1">
      <alignment horizontal="center" vertical="center"/>
    </xf>
    <xf numFmtId="3" fontId="4" fillId="0" borderId="21" xfId="1" applyNumberFormat="1" applyFont="1" applyBorder="1" applyAlignment="1">
      <alignment horizontal="center" vertical="center"/>
    </xf>
    <xf numFmtId="3" fontId="4" fillId="0" borderId="41" xfId="1" applyNumberFormat="1" applyFont="1" applyBorder="1" applyAlignment="1">
      <alignment horizontal="center" vertical="center" wrapText="1"/>
    </xf>
    <xf numFmtId="3" fontId="4" fillId="0" borderId="42" xfId="1" applyNumberFormat="1" applyFont="1" applyBorder="1" applyAlignment="1">
      <alignment horizontal="center" vertical="center"/>
    </xf>
    <xf numFmtId="3" fontId="4" fillId="0" borderId="43" xfId="1" applyNumberFormat="1" applyFont="1" applyBorder="1" applyAlignment="1">
      <alignment horizontal="center" vertical="center"/>
    </xf>
    <xf numFmtId="3" fontId="4" fillId="0" borderId="44" xfId="1" applyNumberFormat="1" applyFont="1" applyBorder="1" applyAlignment="1">
      <alignment horizontal="center" vertical="center"/>
    </xf>
    <xf numFmtId="3" fontId="4" fillId="0" borderId="45" xfId="1" applyNumberFormat="1" applyFont="1" applyBorder="1" applyAlignment="1">
      <alignment horizontal="center" vertical="center"/>
    </xf>
    <xf numFmtId="3" fontId="4" fillId="0" borderId="46" xfId="1" applyNumberFormat="1" applyFont="1" applyBorder="1" applyAlignment="1">
      <alignment horizontal="center" vertical="center"/>
    </xf>
    <xf numFmtId="3" fontId="4" fillId="0" borderId="47" xfId="1" applyNumberFormat="1" applyFont="1" applyBorder="1" applyAlignment="1">
      <alignment horizontal="center" vertical="center"/>
    </xf>
    <xf numFmtId="3" fontId="4" fillId="0" borderId="48" xfId="1" applyNumberFormat="1" applyFont="1" applyBorder="1" applyAlignment="1">
      <alignment horizontal="center" vertical="center"/>
    </xf>
    <xf numFmtId="3" fontId="4" fillId="0" borderId="49" xfId="1" applyNumberFormat="1" applyFont="1" applyBorder="1" applyAlignment="1">
      <alignment horizontal="center" vertical="center" wrapText="1"/>
    </xf>
    <xf numFmtId="3" fontId="4" fillId="0" borderId="50" xfId="1" applyNumberFormat="1" applyFont="1" applyBorder="1" applyAlignment="1">
      <alignment horizontal="center" vertical="center"/>
    </xf>
  </cellXfs>
  <cellStyles count="2">
    <cellStyle name="표준" xfId="0" builtinId="0"/>
    <cellStyle name="표준 2" xfId="1" xr:uid="{9B4F14D3-178C-403E-8346-FD9940955AA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23</xdr:col>
      <xdr:colOff>47625</xdr:colOff>
      <xdr:row>5</xdr:row>
      <xdr:rowOff>57150</xdr:rowOff>
    </xdr:from>
    <xdr:ext cx="639831" cy="596679"/>
    <xdr:pic>
      <xdr:nvPicPr>
        <xdr:cNvPr id="2" name="그림 1">
          <a:extLst>
            <a:ext uri="{FF2B5EF4-FFF2-40B4-BE49-F238E27FC236}">
              <a16:creationId xmlns:a16="http://schemas.microsoft.com/office/drawing/2014/main" id="{3656ADE7-8DFE-426F-ADFB-BCAD17BFAC8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tretch>
          <a:fillRect/>
        </a:stretch>
      </xdr:blipFill>
      <xdr:spPr>
        <a:xfrm>
          <a:off x="5743575" y="1104900"/>
          <a:ext cx="639831" cy="59667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48D19-595E-4DCE-B141-9AA91C0ED044}">
  <sheetPr>
    <tabColor theme="0"/>
    <pageSetUpPr fitToPage="1"/>
  </sheetPr>
  <dimension ref="A2:AD31"/>
  <sheetViews>
    <sheetView showGridLines="0" tabSelected="1" view="pageBreakPreview" topLeftCell="A7" zoomScale="115" zoomScaleNormal="100" zoomScaleSheetLayoutView="115" workbookViewId="0">
      <selection activeCell="AD21" sqref="AD21"/>
    </sheetView>
  </sheetViews>
  <sheetFormatPr defaultColWidth="3.25" defaultRowHeight="24.95" customHeight="1" x14ac:dyDescent="0.3"/>
  <cols>
    <col min="1" max="1" width="3.25" style="1"/>
    <col min="2" max="9" width="4.625" style="1" customWidth="1"/>
    <col min="10" max="10" width="4.125" style="1" customWidth="1"/>
    <col min="11" max="14" width="3.25" style="1"/>
    <col min="15" max="23" width="3.125" style="1" customWidth="1"/>
    <col min="24" max="29" width="3.25" style="1"/>
    <col min="30" max="30" width="9.5" style="1" bestFit="1" customWidth="1"/>
    <col min="31" max="31" width="7.625" style="1" bestFit="1" customWidth="1"/>
    <col min="32" max="32" width="4.125" style="1" bestFit="1" customWidth="1"/>
    <col min="33" max="35" width="3.25" style="1"/>
    <col min="36" max="36" width="8.875" style="1" bestFit="1" customWidth="1"/>
    <col min="37" max="37" width="10.125" style="1" bestFit="1" customWidth="1"/>
    <col min="38" max="16384" width="3.25" style="1"/>
  </cols>
  <sheetData>
    <row r="2" spans="1:30" ht="24.95" customHeight="1" x14ac:dyDescent="0.3">
      <c r="A2" s="114" t="s">
        <v>30</v>
      </c>
      <c r="B2" s="112" t="s">
        <v>45</v>
      </c>
      <c r="C2" s="113"/>
      <c r="D2" s="112" t="s">
        <v>48</v>
      </c>
      <c r="E2" s="113"/>
      <c r="F2" s="112" t="s">
        <v>47</v>
      </c>
      <c r="G2" s="115"/>
      <c r="H2" s="99"/>
      <c r="I2" s="99"/>
      <c r="J2" s="8"/>
      <c r="K2" s="8"/>
      <c r="L2" s="8"/>
      <c r="M2" s="98"/>
      <c r="N2" s="114" t="s">
        <v>46</v>
      </c>
      <c r="O2" s="113" t="s">
        <v>45</v>
      </c>
      <c r="P2" s="111"/>
      <c r="Q2" s="111"/>
      <c r="R2" s="111" t="s">
        <v>44</v>
      </c>
      <c r="S2" s="111"/>
      <c r="T2" s="111"/>
      <c r="U2" s="111" t="s">
        <v>43</v>
      </c>
      <c r="V2" s="111"/>
      <c r="W2" s="112"/>
      <c r="X2" s="111" t="s">
        <v>42</v>
      </c>
      <c r="Y2" s="111"/>
      <c r="Z2" s="110"/>
    </row>
    <row r="3" spans="1:30" ht="24.95" customHeight="1" x14ac:dyDescent="0.3">
      <c r="A3" s="106"/>
      <c r="B3" s="108"/>
      <c r="C3" s="109"/>
      <c r="D3" s="108"/>
      <c r="E3" s="109"/>
      <c r="F3" s="108"/>
      <c r="G3" s="107"/>
      <c r="H3" s="99"/>
      <c r="I3" s="99"/>
      <c r="J3" s="8"/>
      <c r="K3" s="8"/>
      <c r="L3" s="8"/>
      <c r="M3" s="98"/>
      <c r="N3" s="106"/>
      <c r="O3" s="105"/>
      <c r="P3" s="63"/>
      <c r="Q3" s="63"/>
      <c r="R3" s="63"/>
      <c r="S3" s="63"/>
      <c r="T3" s="63"/>
      <c r="U3" s="63"/>
      <c r="V3" s="63"/>
      <c r="W3" s="104"/>
      <c r="X3" s="63"/>
      <c r="Y3" s="63"/>
      <c r="Z3" s="103"/>
    </row>
    <row r="4" spans="1:30" ht="24.95" customHeight="1" x14ac:dyDescent="0.3">
      <c r="A4" s="97"/>
      <c r="B4" s="101"/>
      <c r="C4" s="102"/>
      <c r="D4" s="101"/>
      <c r="E4" s="102"/>
      <c r="F4" s="101"/>
      <c r="G4" s="100"/>
      <c r="H4" s="99"/>
      <c r="I4" s="99"/>
      <c r="J4" s="8"/>
      <c r="K4" s="8"/>
      <c r="L4" s="8"/>
      <c r="M4" s="98"/>
      <c r="N4" s="97"/>
      <c r="O4" s="53"/>
      <c r="P4" s="95"/>
      <c r="Q4" s="95"/>
      <c r="R4" s="95"/>
      <c r="S4" s="95"/>
      <c r="T4" s="95"/>
      <c r="U4" s="95"/>
      <c r="V4" s="95"/>
      <c r="W4" s="96"/>
      <c r="X4" s="95"/>
      <c r="Y4" s="95"/>
      <c r="Z4" s="94"/>
    </row>
    <row r="5" spans="1:30" ht="9.9499999999999993" customHeight="1" thickBot="1" x14ac:dyDescent="0.35"/>
    <row r="6" spans="1:30" ht="24.95" customHeight="1" x14ac:dyDescent="0.3">
      <c r="A6" s="93" t="s">
        <v>41</v>
      </c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1"/>
      <c r="AD6" s="1" t="s">
        <v>40</v>
      </c>
    </row>
    <row r="7" spans="1:30" ht="28.5" customHeight="1" x14ac:dyDescent="0.3">
      <c r="A7" s="90"/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8"/>
      <c r="AD7" s="1" t="s">
        <v>39</v>
      </c>
    </row>
    <row r="8" spans="1:30" ht="21.75" customHeight="1" x14ac:dyDescent="0.3">
      <c r="A8" s="87" t="s">
        <v>38</v>
      </c>
      <c r="B8" s="86"/>
      <c r="C8" s="86"/>
      <c r="D8" s="85">
        <f>S8</f>
        <v>20570000</v>
      </c>
      <c r="E8" s="85"/>
      <c r="F8" s="85"/>
      <c r="G8" s="85"/>
      <c r="H8" s="85"/>
      <c r="I8" s="85"/>
      <c r="J8" s="85"/>
      <c r="K8" s="85"/>
      <c r="L8" s="85"/>
      <c r="M8" s="85"/>
      <c r="N8" s="85"/>
      <c r="O8" s="84" t="s">
        <v>37</v>
      </c>
      <c r="P8" s="84"/>
      <c r="Q8" s="83"/>
      <c r="R8" s="82" t="s">
        <v>36</v>
      </c>
      <c r="S8" s="81">
        <f>Q27</f>
        <v>20570000</v>
      </c>
      <c r="T8" s="81"/>
      <c r="U8" s="81"/>
      <c r="V8" s="81"/>
      <c r="W8" s="81"/>
      <c r="X8" s="81"/>
      <c r="Y8" s="81"/>
      <c r="Z8" s="80" t="s">
        <v>35</v>
      </c>
    </row>
    <row r="9" spans="1:30" ht="21.75" customHeight="1" x14ac:dyDescent="0.3">
      <c r="A9" s="79" t="s">
        <v>34</v>
      </c>
      <c r="B9" s="78"/>
      <c r="C9" s="78"/>
      <c r="D9" s="77" t="s">
        <v>33</v>
      </c>
      <c r="E9" s="76"/>
      <c r="F9" s="76"/>
      <c r="G9" s="76"/>
      <c r="H9" s="76"/>
      <c r="I9" s="76"/>
      <c r="J9" s="76"/>
      <c r="K9" s="76"/>
      <c r="L9" s="76"/>
      <c r="M9" s="75"/>
      <c r="N9" s="74" t="s">
        <v>32</v>
      </c>
      <c r="O9" s="73"/>
      <c r="P9" s="72"/>
      <c r="Q9" s="71"/>
      <c r="R9" s="70"/>
      <c r="S9" s="70"/>
      <c r="T9" s="70"/>
      <c r="U9" s="70"/>
      <c r="V9" s="70"/>
      <c r="W9" s="70"/>
      <c r="X9" s="70"/>
      <c r="Y9" s="70"/>
      <c r="Z9" s="69"/>
    </row>
    <row r="10" spans="1:30" ht="21.75" customHeight="1" x14ac:dyDescent="0.3">
      <c r="A10" s="64" t="s">
        <v>31</v>
      </c>
      <c r="B10" s="63"/>
      <c r="C10" s="63"/>
      <c r="D10" s="68">
        <v>46181</v>
      </c>
      <c r="E10" s="67"/>
      <c r="F10" s="67"/>
      <c r="G10" s="67"/>
      <c r="H10" s="67"/>
      <c r="I10" s="67"/>
      <c r="J10" s="67"/>
      <c r="K10" s="67"/>
      <c r="L10" s="67"/>
      <c r="M10" s="66"/>
      <c r="N10" s="61" t="s">
        <v>30</v>
      </c>
      <c r="O10" s="60"/>
      <c r="P10" s="59"/>
      <c r="Q10" s="58" t="s">
        <v>29</v>
      </c>
      <c r="R10" s="57"/>
      <c r="S10" s="57"/>
      <c r="T10" s="57"/>
      <c r="U10" s="57"/>
      <c r="V10" s="57"/>
      <c r="W10" s="57"/>
      <c r="X10" s="57"/>
      <c r="Y10" s="57"/>
      <c r="Z10" s="65"/>
    </row>
    <row r="11" spans="1:30" ht="21.75" customHeight="1" x14ac:dyDescent="0.3">
      <c r="A11" s="64" t="s">
        <v>28</v>
      </c>
      <c r="B11" s="63"/>
      <c r="C11" s="63"/>
      <c r="D11" s="58"/>
      <c r="E11" s="57"/>
      <c r="F11" s="57"/>
      <c r="G11" s="57"/>
      <c r="H11" s="57"/>
      <c r="I11" s="57"/>
      <c r="J11" s="57"/>
      <c r="K11" s="57"/>
      <c r="L11" s="57"/>
      <c r="M11" s="62"/>
      <c r="N11" s="61" t="s">
        <v>27</v>
      </c>
      <c r="O11" s="60"/>
      <c r="P11" s="59"/>
      <c r="Q11" s="58" t="s">
        <v>26</v>
      </c>
      <c r="R11" s="57"/>
      <c r="S11" s="57"/>
      <c r="T11" s="57"/>
      <c r="U11" s="57"/>
      <c r="V11" s="57"/>
      <c r="W11" s="57"/>
      <c r="X11" s="57"/>
      <c r="Y11" s="57"/>
      <c r="Z11" s="56" t="s">
        <v>25</v>
      </c>
    </row>
    <row r="12" spans="1:30" ht="21.75" customHeight="1" x14ac:dyDescent="0.3">
      <c r="A12" s="55" t="s">
        <v>24</v>
      </c>
      <c r="B12" s="54"/>
      <c r="C12" s="53"/>
      <c r="D12" s="52" t="s">
        <v>23</v>
      </c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0"/>
    </row>
    <row r="13" spans="1:30" ht="21.75" customHeight="1" x14ac:dyDescent="0.3">
      <c r="A13" s="49" t="s">
        <v>22</v>
      </c>
      <c r="B13" s="48"/>
      <c r="C13" s="48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38"/>
      <c r="Y13" s="38"/>
      <c r="Z13" s="37"/>
    </row>
    <row r="14" spans="1:30" ht="21.75" customHeight="1" x14ac:dyDescent="0.3">
      <c r="A14" s="41"/>
      <c r="B14" s="46" t="s">
        <v>21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37"/>
      <c r="AA14" s="45"/>
    </row>
    <row r="15" spans="1:30" ht="21.75" customHeight="1" x14ac:dyDescent="0.3">
      <c r="A15" s="41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9"/>
      <c r="X15" s="38"/>
      <c r="Y15" s="38"/>
      <c r="Z15" s="37"/>
    </row>
    <row r="16" spans="1:30" ht="13.5" x14ac:dyDescent="0.3">
      <c r="A16" s="41"/>
      <c r="B16" s="44" t="s">
        <v>20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39"/>
      <c r="X16" s="38"/>
      <c r="Y16" s="38"/>
      <c r="Z16" s="37"/>
    </row>
    <row r="17" spans="1:26" ht="21.75" customHeight="1" x14ac:dyDescent="0.3">
      <c r="A17" s="41"/>
      <c r="B17" s="44" t="s">
        <v>19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39"/>
      <c r="X17" s="38"/>
      <c r="Y17" s="38"/>
      <c r="Z17" s="37"/>
    </row>
    <row r="18" spans="1:26" ht="13.5" x14ac:dyDescent="0.3">
      <c r="A18" s="41"/>
      <c r="B18" s="44" t="s">
        <v>18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39"/>
      <c r="X18" s="38"/>
      <c r="Y18" s="38"/>
      <c r="Z18" s="37"/>
    </row>
    <row r="19" spans="1:26" ht="13.5" x14ac:dyDescent="0.3">
      <c r="A19" s="41"/>
      <c r="B19" s="43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W19" s="39"/>
      <c r="X19" s="38"/>
      <c r="Y19" s="38"/>
      <c r="Z19" s="37"/>
    </row>
    <row r="20" spans="1:26" ht="35.25" customHeight="1" x14ac:dyDescent="0.3">
      <c r="A20" s="41"/>
      <c r="B20" s="40" t="s">
        <v>17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39"/>
      <c r="X20" s="38"/>
      <c r="Y20" s="38"/>
      <c r="Z20" s="37"/>
    </row>
    <row r="21" spans="1:26" ht="21.75" customHeight="1" x14ac:dyDescent="0.3">
      <c r="A21" s="36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5"/>
      <c r="X21" s="34"/>
      <c r="Y21" s="34"/>
      <c r="Z21" s="33"/>
    </row>
    <row r="22" spans="1:26" ht="21.75" customHeight="1" x14ac:dyDescent="0.3">
      <c r="A22" s="10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11"/>
      <c r="X22" s="8"/>
      <c r="Y22" s="8"/>
      <c r="Z22" s="7"/>
    </row>
    <row r="23" spans="1:26" ht="21.75" customHeight="1" x14ac:dyDescent="0.3">
      <c r="A23" s="10"/>
      <c r="C23" s="30" t="s">
        <v>16</v>
      </c>
      <c r="D23" s="29"/>
      <c r="E23" s="29"/>
      <c r="F23" s="28"/>
      <c r="G23" s="30" t="s">
        <v>15</v>
      </c>
      <c r="H23" s="29"/>
      <c r="I23" s="28"/>
      <c r="J23" s="31" t="s">
        <v>14</v>
      </c>
      <c r="K23" s="31"/>
      <c r="L23" s="30" t="s">
        <v>13</v>
      </c>
      <c r="M23" s="28"/>
      <c r="N23" s="30" t="s">
        <v>12</v>
      </c>
      <c r="O23" s="29"/>
      <c r="P23" s="28"/>
      <c r="Q23" s="30" t="s">
        <v>11</v>
      </c>
      <c r="R23" s="29"/>
      <c r="S23" s="28"/>
      <c r="T23" s="30" t="s">
        <v>10</v>
      </c>
      <c r="U23" s="29"/>
      <c r="V23" s="28"/>
      <c r="W23" s="11"/>
      <c r="X23" s="8"/>
      <c r="Y23" s="8"/>
      <c r="Z23" s="7"/>
    </row>
    <row r="24" spans="1:26" ht="13.5" customHeight="1" x14ac:dyDescent="0.3">
      <c r="A24" s="10"/>
      <c r="B24" s="8"/>
      <c r="C24" s="22" t="s">
        <v>9</v>
      </c>
      <c r="D24" s="21"/>
      <c r="E24" s="21"/>
      <c r="F24" s="20"/>
      <c r="G24" s="27" t="s">
        <v>8</v>
      </c>
      <c r="H24" s="26"/>
      <c r="I24" s="25"/>
      <c r="J24" s="24" t="s">
        <v>5</v>
      </c>
      <c r="K24" s="24" t="s">
        <v>4</v>
      </c>
      <c r="L24" s="23">
        <v>15</v>
      </c>
      <c r="M24" s="23">
        <v>5</v>
      </c>
      <c r="N24" s="23">
        <v>1100000</v>
      </c>
      <c r="O24" s="23">
        <v>720000</v>
      </c>
      <c r="P24" s="23">
        <v>720000</v>
      </c>
      <c r="Q24" s="23">
        <f>L24*N24</f>
        <v>16500000</v>
      </c>
      <c r="R24" s="23"/>
      <c r="S24" s="23"/>
      <c r="T24" s="23">
        <f>Q24/10</f>
        <v>1650000</v>
      </c>
      <c r="U24" s="23"/>
      <c r="V24" s="23"/>
      <c r="W24" s="11"/>
      <c r="X24" s="8"/>
      <c r="Y24" s="8"/>
      <c r="Z24" s="7"/>
    </row>
    <row r="25" spans="1:26" ht="13.5" x14ac:dyDescent="0.3">
      <c r="A25" s="10"/>
      <c r="B25" s="8"/>
      <c r="C25" s="22" t="s">
        <v>7</v>
      </c>
      <c r="D25" s="21"/>
      <c r="E25" s="21"/>
      <c r="F25" s="20"/>
      <c r="G25" s="27" t="s">
        <v>6</v>
      </c>
      <c r="H25" s="26"/>
      <c r="I25" s="25"/>
      <c r="J25" s="24" t="s">
        <v>5</v>
      </c>
      <c r="K25" s="24" t="s">
        <v>4</v>
      </c>
      <c r="L25" s="23">
        <v>1</v>
      </c>
      <c r="M25" s="23">
        <v>5</v>
      </c>
      <c r="N25" s="23">
        <v>2200000</v>
      </c>
      <c r="O25" s="23">
        <v>720000</v>
      </c>
      <c r="P25" s="23">
        <v>720000</v>
      </c>
      <c r="Q25" s="23">
        <f>L25*N25</f>
        <v>2200000</v>
      </c>
      <c r="R25" s="23"/>
      <c r="S25" s="23"/>
      <c r="T25" s="23">
        <f>Q25/10</f>
        <v>220000</v>
      </c>
      <c r="U25" s="23"/>
      <c r="V25" s="23"/>
      <c r="W25" s="11"/>
      <c r="X25" s="8"/>
      <c r="Y25" s="8"/>
      <c r="Z25" s="7"/>
    </row>
    <row r="26" spans="1:26" ht="13.5" customHeight="1" x14ac:dyDescent="0.3">
      <c r="A26" s="10"/>
      <c r="B26" s="8"/>
      <c r="C26" s="22" t="s">
        <v>3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0"/>
      <c r="W26" s="11"/>
      <c r="X26" s="8"/>
      <c r="Y26" s="8"/>
      <c r="Z26" s="7"/>
    </row>
    <row r="27" spans="1:26" ht="13.5" x14ac:dyDescent="0.3">
      <c r="A27" s="10"/>
      <c r="B27" s="8"/>
      <c r="C27" s="19" t="s">
        <v>2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7"/>
      <c r="Q27" s="16">
        <f>SUM(Q24:V26)</f>
        <v>20570000</v>
      </c>
      <c r="R27" s="15"/>
      <c r="S27" s="15"/>
      <c r="T27" s="15"/>
      <c r="U27" s="15"/>
      <c r="V27" s="14"/>
      <c r="W27" s="11"/>
      <c r="X27" s="8"/>
      <c r="Y27" s="8"/>
      <c r="Z27" s="7"/>
    </row>
    <row r="28" spans="1:26" ht="13.5" x14ac:dyDescent="0.3">
      <c r="A28" s="10"/>
      <c r="B28" s="8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2"/>
      <c r="R28" s="12"/>
      <c r="S28" s="12"/>
      <c r="T28" s="12"/>
      <c r="U28" s="12"/>
      <c r="V28" s="12"/>
      <c r="W28" s="11"/>
      <c r="X28" s="8"/>
      <c r="Y28" s="8"/>
      <c r="Z28" s="7"/>
    </row>
    <row r="29" spans="1:26" ht="24.95" customHeight="1" x14ac:dyDescent="0.3">
      <c r="A29" s="10"/>
      <c r="B29" s="8"/>
      <c r="C29" s="8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8"/>
      <c r="X29" s="8"/>
      <c r="Y29" s="8"/>
      <c r="Z29" s="7"/>
    </row>
    <row r="30" spans="1:26" ht="24.95" customHeight="1" thickBot="1" x14ac:dyDescent="0.35">
      <c r="A30" s="6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4"/>
    </row>
    <row r="31" spans="1:26" ht="24.95" customHeight="1" x14ac:dyDescent="0.3">
      <c r="A31" s="3" t="s">
        <v>1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2" t="s">
        <v>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</sheetData>
  <mergeCells count="76">
    <mergeCell ref="M2:M4"/>
    <mergeCell ref="G23:I23"/>
    <mergeCell ref="G24:I24"/>
    <mergeCell ref="G25:I25"/>
    <mergeCell ref="C25:F25"/>
    <mergeCell ref="C24:F24"/>
    <mergeCell ref="C23:F23"/>
    <mergeCell ref="B3:C4"/>
    <mergeCell ref="D3:E4"/>
    <mergeCell ref="F3:G4"/>
    <mergeCell ref="H3:I4"/>
    <mergeCell ref="O3:Q4"/>
    <mergeCell ref="A2:A4"/>
    <mergeCell ref="B2:C2"/>
    <mergeCell ref="D2:E2"/>
    <mergeCell ref="F2:G2"/>
    <mergeCell ref="H2:I2"/>
    <mergeCell ref="S8:Y8"/>
    <mergeCell ref="N2:N4"/>
    <mergeCell ref="O2:Q2"/>
    <mergeCell ref="R2:T2"/>
    <mergeCell ref="U2:W2"/>
    <mergeCell ref="X2:Z2"/>
    <mergeCell ref="D10:M10"/>
    <mergeCell ref="N10:P10"/>
    <mergeCell ref="Q10:Z10"/>
    <mergeCell ref="R3:T4"/>
    <mergeCell ref="U3:W4"/>
    <mergeCell ref="X3:Z4"/>
    <mergeCell ref="A6:Z7"/>
    <mergeCell ref="A8:C8"/>
    <mergeCell ref="D8:N8"/>
    <mergeCell ref="O8:P8"/>
    <mergeCell ref="A13:C13"/>
    <mergeCell ref="D13:W13"/>
    <mergeCell ref="B14:Y14"/>
    <mergeCell ref="B15:V15"/>
    <mergeCell ref="B16:V16"/>
    <mergeCell ref="A9:C9"/>
    <mergeCell ref="D9:M9"/>
    <mergeCell ref="N9:P9"/>
    <mergeCell ref="Q9:Z9"/>
    <mergeCell ref="A10:C10"/>
    <mergeCell ref="A11:C11"/>
    <mergeCell ref="D11:M11"/>
    <mergeCell ref="N11:P11"/>
    <mergeCell ref="Q11:Y11"/>
    <mergeCell ref="A12:C12"/>
    <mergeCell ref="D12:Z12"/>
    <mergeCell ref="B18:V18"/>
    <mergeCell ref="B19:U19"/>
    <mergeCell ref="B20:V20"/>
    <mergeCell ref="B21:V21"/>
    <mergeCell ref="B22:V22"/>
    <mergeCell ref="B17:V17"/>
    <mergeCell ref="A31:M31"/>
    <mergeCell ref="N31:Z31"/>
    <mergeCell ref="J24:K24"/>
    <mergeCell ref="L24:M24"/>
    <mergeCell ref="T25:V25"/>
    <mergeCell ref="J25:K25"/>
    <mergeCell ref="C27:P27"/>
    <mergeCell ref="Q27:V27"/>
    <mergeCell ref="C26:V26"/>
    <mergeCell ref="T23:V23"/>
    <mergeCell ref="N24:P24"/>
    <mergeCell ref="Q24:S24"/>
    <mergeCell ref="T24:V24"/>
    <mergeCell ref="N23:P23"/>
    <mergeCell ref="D29:V29"/>
    <mergeCell ref="J23:K23"/>
    <mergeCell ref="L23:M23"/>
    <mergeCell ref="L25:M25"/>
    <mergeCell ref="N25:P25"/>
    <mergeCell ref="Q25:S25"/>
    <mergeCell ref="Q23:S23"/>
  </mergeCells>
  <phoneticPr fontId="3" type="noConversion"/>
  <printOptions horizontalCentered="1"/>
  <pageMargins left="0.39370078740157483" right="0.39370078740157483" top="0.70866141732283472" bottom="0" header="0" footer="0"/>
  <pageSetup paperSize="9" scale="92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신안_고효율_26.06.08</vt:lpstr>
      <vt:lpstr>신안_고효율_26.06.08!Print_Area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 용준</dc:creator>
  <cp:lastModifiedBy>김 용준</cp:lastModifiedBy>
  <dcterms:created xsi:type="dcterms:W3CDTF">2026-06-16T06:02:55Z</dcterms:created>
  <dcterms:modified xsi:type="dcterms:W3CDTF">2026-06-16T06:03:06Z</dcterms:modified>
</cp:coreProperties>
</file>